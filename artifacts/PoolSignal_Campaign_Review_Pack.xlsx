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122ddad9e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aec300250654a86"/>
    <x:sheet xmlns:r="http://schemas.openxmlformats.org/officeDocument/2006/relationships" name="Review Queue" sheetId="2" r:id="R9518fd9553704407"/>
    <x:sheet xmlns:r="http://schemas.openxmlformats.org/officeDocument/2006/relationships" name="Entity Crosswalk" sheetId="3" r:id="R578c84060bae49bf"/>
    <x:sheet xmlns:r="http://schemas.openxmlformats.org/officeDocument/2006/relationships" name="Campaign Tracker" sheetId="4" r:id="Rca8143f28d2844a4"/>
    <x:sheet xmlns:r="http://schemas.openxmlformats.org/officeDocument/2006/relationships" name="Scenario Inputs" sheetId="5" r:id="R80fe5ec27cec4466"/>
    <x:sheet xmlns:r="http://schemas.openxmlformats.org/officeDocument/2006/relationships" name="QA Exceptions" sheetId="6" r:id="R41323473147a4ae7"/>
    <x:sheet xmlns:r="http://schemas.openxmlformats.org/officeDocument/2006/relationships" name="Data Dictionary" sheetId="7" r:id="R891cc338811f4f6d"/>
  </x:sheets>
</x:workbook>
</file>

<file path=xl/comments1.xml><?xml version="1.0" encoding="utf-8"?>
<x:comments xmlns:x="http://schemas.openxmlformats.org/spreadsheetml/2006/main">
  <x:authors>
    <x:author>tc={A04840A9-4965-AB1F-9178-38881F97AFCA}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Public fee input source: https://www.via-la.com/licensing-programs/qi-wireless-power/. The actual license agreement controls.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yyyy-mm-dd"/>
    <x:numFmt numFmtId="202" formatCode="0"/>
    <x:numFmt numFmtId="203" formatCode="0.0%"/>
    <x:numFmt numFmtId="204" formatCode="#,##0"/>
    <x:numFmt numFmtId="205" formatCode="$0.00"/>
    <x:numFmt numFmtId="206" formatCode="0%"/>
    <x:numFmt numFmtId="207" formatCode="$#,##0"/>
  </x:numFmts>
  <x:fonts count="15">
    <x:font>
      <x:sz val="11"/>
      <x:name val="Carlito"/>
    </x:font>
    <x:font>
      <x:b/>
      <x:sz val="20"/>
      <x:color rgb="FFFFFFFF"/>
      <x:name val="Aptos Display"/>
    </x:font>
    <x:font>
      <x:sz val="9"/>
      <x:color rgb="FFAFC1D8"/>
      <x:name val="Aptos"/>
    </x:font>
    <x:font>
      <x:b/>
      <x:sz val="9"/>
      <x:color rgb="FFFFFFFF"/>
      <x:name val="Aptos"/>
    </x:font>
    <x:font>
      <x:sz val="9"/>
      <x:color rgb="FF182435"/>
      <x:name val="Aptos"/>
    </x:font>
    <x:font>
      <x:b/>
      <x:sz val="11"/>
      <x:color rgb="FF0B1320"/>
      <x:name val="Carlito"/>
    </x:font>
    <x:font>
      <x:sz val="9"/>
      <x:color rgb="FF182435"/>
      <x:name val="Carlito"/>
    </x:font>
    <x:font>
      <x:b/>
      <x:sz val="8"/>
      <x:color rgb="FF66758A"/>
      <x:name val="Aptos"/>
    </x:font>
    <x:font>
      <x:b/>
      <x:sz val="24"/>
      <x:color rgb="FF182435"/>
      <x:name val="Aptos Display"/>
    </x:font>
    <x:font>
      <x:sz val="8"/>
      <x:color rgb="FFF2C14E"/>
      <x:name val="Aptos"/>
    </x:font>
    <x:font>
      <x:sz val="8"/>
      <x:color rgb="FFEB6A5B"/>
      <x:name val="Aptos"/>
    </x:font>
    <x:font>
      <x:sz val="8"/>
      <x:color rgb="FF2D9CDB"/>
      <x:name val="Aptos"/>
    </x:font>
    <x:font>
      <x:b/>
      <x:sz val="11"/>
      <x:color rgb="FFFFFFFF"/>
      <x:name val="Carlito"/>
    </x:font>
    <x:font>
      <x:sz val="9"/>
      <x:color rgb="FF66758A"/>
      <x:name val="Carlito"/>
    </x:font>
    <x:font>
      <x:sz val="9"/>
      <x:color rgb="FF7A5A0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320"/>
      </x:patternFill>
    </x:fill>
    <x:fill>
      <x:patternFill patternType="solid">
        <x:fgColor rgb="FF132238"/>
      </x:patternFill>
    </x:fill>
    <x:fill>
      <x:patternFill patternType="solid">
        <x:fgColor rgb="FFFFF8E8"/>
      </x:patternFill>
    </x:fill>
    <x:fill>
      <x:patternFill patternType="solid">
        <x:fgColor rgb="FFF2C14E"/>
      </x:patternFill>
    </x:fill>
    <x:fill>
      <x:patternFill patternType="solid">
        <x:fgColor rgb="FFF4F7FB"/>
      </x:patternFill>
    </x:fill>
  </x:fills>
  <x:borders count="5">
    <x:border/>
    <x:border>
      <x:bottom style="medium">
        <x:color rgb="FF236B8E"/>
      </x:bottom>
    </x:border>
    <x:border>
      <x:bottom style="thin">
        <x:color rgb="FFDCE3EC"/>
      </x:bottom>
    </x:border>
    <x:border>
      <x:top style="thin">
        <x:color rgb="FFDCE3EC"/>
      </x:top>
      <x:bottom style="thin">
        <x:color rgb="FFDCE3EC"/>
      </x:bottom>
    </x:border>
    <x:border>
      <x:top style="thin">
        <x:color rgb="FFDCE3EC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4" fontId="4" fillId="4" borderId="2" xfId="0" applyNumberFormat="1" applyFont="1" applyFill="1" applyBorder="1" applyAlignment="1">
      <x:alignment vertical="center"/>
    </x:xf>
    <x:xf numFmtId="205" fontId="4" fillId="4" borderId="3" xfId="0" applyNumberFormat="1" applyFont="1" applyFill="1" applyBorder="1" applyAlignment="1">
      <x:alignment vertical="center"/>
    </x:xf>
    <x:xf numFmtId="206" fontId="4" fillId="4" borderId="3" xfId="0" applyNumberFormat="1" applyFont="1" applyFill="1" applyBorder="1" applyAlignment="1">
      <x:alignment vertical="center"/>
    </x:xf>
    <x:xf numFmtId="204" fontId="4" fillId="4" borderId="3" xfId="0" applyNumberFormat="1" applyFont="1" applyFill="1" applyBorder="1" applyAlignment="1">
      <x:alignment vertical="center"/>
    </x:xf>
    <x:xf numFmtId="206" fontId="4" fillId="4" borderId="4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207" fontId="4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vertical="center"/>
    </x:xf>
    <x:xf numFmtId="203" fontId="8" fillId="6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13" fillId="6" borderId="2" xfId="0" applyNumberFormat="1" applyFont="1" applyFill="1" applyBorder="1" applyAlignment="1">
      <x:alignment vertical="center"/>
    </x:xf>
    <x:xf numFmtId="0" fontId="13" fillId="6" borderId="3" xfId="0" applyNumberFormat="1" applyFont="1" applyFill="1" applyBorder="1" applyAlignment="1">
      <x:alignment vertical="center"/>
    </x:xf>
    <x:xf numFmtId="0" fontId="13" fillId="6" borderId="4" xfId="0" applyNumberFormat="1" applyFont="1" applyFill="1" applyBorder="1" applyAlignment="1">
      <x:alignment vertical="center"/>
    </x:xf>
    <x:xf numFmtId="204" fontId="0" fillId="6" borderId="2" xfId="0" applyNumberFormat="1" applyFont="1" applyFill="1" applyBorder="1" applyAlignment="1">
      <x:alignment vertical="center"/>
    </x:xf>
    <x:xf numFmtId="207" fontId="0" fillId="6" borderId="3" xfId="0" applyNumberFormat="1" applyFont="1" applyFill="1" applyBorder="1" applyAlignment="1">
      <x:alignment vertical="center"/>
    </x:xf>
    <x:xf numFmtId="207" fontId="0" fillId="6" borderId="4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EB6A5B"/>
      </x:font>
      <x:fill>
        <x:patternFill patternType="solid">
          <x:bgColor rgb="FFFDE9E7"/>
        </x:patternFill>
      </x:fill>
    </x:dxf>
    <x:dxf>
      <x:font>
        <x:b/>
        <x:color rgb="FF2DAA74"/>
      </x:font>
      <x:fill>
        <x:patternFill patternType="solid">
          <x:bgColor rgb="FFE8F7EF"/>
        </x:patternFill>
      </x:fill>
    </x:dxf>
    <x:dxf>
      <x:font>
        <x:b/>
        <x:color rgb="FF9C6A00"/>
      </x:font>
      <x:fill>
        <x:patternFill patternType="solid">
          <x:bgColor rgb="FFFFF6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c83f66abc4c59" /><Relationship Type="http://schemas.openxmlformats.org/officeDocument/2006/relationships/theme" Target="/xl/theme/theme1.xml" Id="R0ff9f1f9a0644f5e" /><Relationship Type="http://schemas.microsoft.com/office/2022/11/relationships/FeaturePropertyBag" Target="/xl/featurePropertyBag/featurePropertyBag.xml" Id="R5332304e20ec4e82" /><Relationship Type="http://schemas.openxmlformats.org/officeDocument/2006/relationships/sharedStrings" Target="/xl/sharedStrings.xml" Id="Rfdf000954026450e" /><Relationship Type="http://schemas.openxmlformats.org/officeDocument/2006/relationships/worksheet" Target="/xl/worksheets/sheet1.xml" Id="Raaec300250654a86" /><Relationship Type="http://schemas.openxmlformats.org/officeDocument/2006/relationships/worksheet" Target="/xl/worksheets/sheet2.xml" Id="R9518fd9553704407" /><Relationship Type="http://schemas.openxmlformats.org/officeDocument/2006/relationships/worksheet" Target="/xl/worksheets/sheet3.xml" Id="R578c84060bae49bf" /><Relationship Type="http://schemas.openxmlformats.org/officeDocument/2006/relationships/worksheet" Target="/xl/worksheets/sheet4.xml" Id="Rca8143f28d2844a4" /><Relationship Type="http://schemas.openxmlformats.org/officeDocument/2006/relationships/worksheet" Target="/xl/worksheets/sheet5.xml" Id="R80fe5ec27cec4466" /><Relationship Type="http://schemas.openxmlformats.org/officeDocument/2006/relationships/worksheet" Target="/xl/worksheets/sheet6.xml" Id="R41323473147a4ae7" /><Relationship Type="http://schemas.openxmlformats.org/officeDocument/2006/relationships/worksheet" Target="/xl/worksheets/sheet7.xml" Id="R891cc338811f4f6d" /><Relationship Type="http://schemas.microsoft.com/office/2017/10/relationships/person" Target="/xl/persons/person.xml" Id="R7aa1303ecbbe42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473db0c56f4f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Certification activity peaked in June</a:t>
            </a:r>
          </a:p>
        </c:rich>
      </c:tx>
    </c:title>
    <c:plotArea>
      <c:lineChart>
        <c:grouping val="standard"/>
        <c:ser>
          <c:idx val="0"/>
          <c:order val="0"/>
          <c:tx>
            <c:v>Certification index</c:v>
          </c:tx>
          <c:marker>
            <c:symbol val="none"/>
          </c:marker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'Dashboard'!$B$13:$B$19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473db0c56f4f4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jay" id="{301672C9-5DC0-4BAD-BDBE-CD58F317F9AE}"/>
</xltc:personList>
</file>

<file path=xl/tables/table1.xml><?xml version="1.0" encoding="utf-8"?>
<x:table xmlns:x="http://schemas.openxmlformats.org/spreadsheetml/2006/main" id="1" name="ReviewQueueTable" displayName="ReviewQueueTable" ref="A5:N10" headerRowCount="1" totalsRowCount="0" totalsRowShown="0">
  <x:tableColumns count="14">
    <x:tableColumn id="1" name="Case ID"/>
    <x:tableColumn id="2" name="Qi ID"/>
    <x:tableColumn id="3" name="Brand"/>
    <x:tableColumn id="4" name="Product"/>
    <x:tableColumn id="5" name="Type"/>
    <x:tableColumn id="6" name="Load W"/>
    <x:tableColumn id="7" name="Certified"/>
    <x:tableColumn id="8" name="Priority"/>
    <x:tableColumn id="9" name="Entity Confidence"/>
    <x:tableColumn id="10" name="Public Snapshot"/>
    <x:tableColumn id="11" name="Status"/>
    <x:tableColumn id="12" name="Owner"/>
    <x:tableColumn id="13" name="Next Action"/>
    <x:tableColumn id="1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yCrosswalkTable" displayName="EntityCrosswalkTable" ref="A5:H10" headerRowCount="1" totalsRowCount="0" totalsRowShown="0">
  <x:tableColumns count="8">
    <x:tableColumn id="1" name="Brand"/>
    <x:tableColumn id="2" name="Candidate Legal Entity"/>
    <x:tableColumn id="3" name="Resolution Method"/>
    <x:tableColumn id="4" name="Confidence"/>
    <x:tableColumn id="5" name="Public-list State"/>
    <x:tableColumn id="6" name="Reviewer Decision"/>
    <x:tableColumn id="7" name="Evidence"/>
    <x:tableColumn id="8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mpaignTrackerTable" displayName="CampaignTrackerTable" ref="A5:K10" headerRowCount="1" totalsRowCount="0" totalsRowShown="0">
  <x:tableColumns count="11">
    <x:tableColumn id="1" name="Case ID"/>
    <x:tableColumn id="2" name="Stage"/>
    <x:tableColumn id="3" name="Owner"/>
    <x:tableColumn id="4" name="Activity Date"/>
    <x:tableColumn id="5" name="Last Touch"/>
    <x:tableColumn id="6" name="Next Due"/>
    <x:tableColumn id="7" name="Days Since Touch"/>
    <x:tableColumn id="8" name="Aging Bucket"/>
    <x:tableColumn id="9" name="Response"/>
    <x:tableColumn id="10" name="Next Action"/>
    <x:tableColumn id="11" name="Syntheti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ExceptionsTable" displayName="QAExceptionsTable" ref="A5:G11" headerRowCount="1" totalsRowCount="0" totalsRowShown="0">
  <x:tableColumns count="7">
    <x:tableColumn id="1" name="Check"/>
    <x:tableColumn id="2" name="Severity"/>
    <x:tableColumn id="3" name="Status"/>
    <x:tableColumn id="4" name="Metric"/>
    <x:tableColumn id="5" name="Threshold"/>
    <x:tableColumn id="6" name="Observed"/>
    <x:tableColumn id="7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5:F17" headerRowCount="1" totalsRowCount="0" totalsRowShown="0">
  <x:tableColumns count="6">
    <x:tableColumn id="1" name="Dataset"/>
    <x:tableColumn id="2" name="Field"/>
    <x:tableColumn id="3" name="Type"/>
    <x:tableColumn id="4" name="Definition"/>
    <x:tableColumn id="5" name="Allowed values / rule"/>
    <x:tableColumn id="6" name="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14T10:13:30.457" personId="{301672C9-5DC0-4BAD-BDBE-CD58F317F9AE}" id="{A04840A9-4965-AB1F-9178-38881F97AFCA}">
    <xltc:text>Public fee input source: https://www.via-la.com/licensing-programs/qi-wireless-power/. The actual license agreement controls.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05b85290f64e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a4fbe10e5140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6aecdd42b94a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7ed01744b8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d6d23894f7d34a4a" /><Relationship Type="http://schemas.openxmlformats.org/officeDocument/2006/relationships/vmlDrawing" Target="/xl/drawings/vmldrawing.vml" Id="R86ee1b0b956043f6" /><Relationship Type="http://schemas.microsoft.com/office/2017/10/relationships/threadedComment" Target="/xl/threadedcomments/threadedcomment.xml" Id="R3bd7328d55bc46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5a1986b3911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fe670985e2a46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2" hidden="0" customWidth="1"/>
  </x:cols>
  <x:sheetData>
    <x:row r="1" ht="24" customHeight="1">
      <x:c r="A1" s="3" t="str">
        <x:v>PoolSignal | Campaign Review Pack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6" t="str">
        <x:v>As of 2026-07-14 · public product evidence + synthetic operations · evidence before action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5">
      <x:c r="A5" s="58" t="str">
        <x:v>ACTIVE REVIEW CASES</x:v>
      </x:c>
      <x:c r="B5" s="58"/>
      <x:c r="C5" s="58"/>
      <x:c r="D5" s="58"/>
      <x:c r="E5" s="58" t="str">
        <x:v>HIGH-PRIORITY CASES</x:v>
      </x:c>
      <x:c r="F5" s="58"/>
      <x:c r="G5" s="58"/>
      <x:c r="H5" s="58"/>
      <x:c r="I5" s="58" t="str">
        <x:v>AVG ENTITY CONFIDENCE</x:v>
      </x:c>
      <x:c r="J5" s="58"/>
      <x:c r="K5" s="58"/>
      <x:c r="L5" s="58"/>
      <x:c r="M5" s="58" t="str">
        <x:v>OVERDUE SYNTHETIC ITEMS</x:v>
      </x:c>
      <x:c r="N5" s="58"/>
      <x:c r="O5" s="58"/>
      <x:c r="P5" s="58"/>
    </x:row>
    <x:row r="6">
      <x:c r="A6" s="60" t="n">
        <x:f>COUNTIFS('Review Queue'!$K$6:$K$205,"Review")</x:f>
        <x:v>3</x:v>
      </x:c>
      <x:c r="B6" s="60"/>
      <x:c r="C6" s="60"/>
      <x:c r="D6" s="60"/>
      <x:c r="E6" s="60" t="n">
        <x:f>COUNTIFS('Review Queue'!$H$6:$H$205,"&gt;=70")</x:f>
        <x:v>3</x:v>
      </x:c>
      <x:c r="F6" s="60"/>
      <x:c r="G6" s="60"/>
      <x:c r="H6" s="60"/>
      <x:c r="I6" s="67" t="n">
        <x:f>AVERAGE('Review Queue'!$I$6:$I$10)</x:f>
        <x:v>0.774</x:v>
      </x:c>
      <x:c r="J6" s="67"/>
      <x:c r="K6" s="67"/>
      <x:c r="L6" s="67"/>
      <x:c r="M6" s="60" t="n">
        <x:f>COUNTIFS('Campaign Tracker'!$H$6:$H$205,"Overdue")</x:f>
        <x:v>1</x:v>
      </x:c>
      <x:c r="N6" s="60"/>
      <x:c r="O6" s="60"/>
      <x:c r="P6" s="60"/>
    </x:row>
    <x:row r="7">
      <x:c r="A7" s="60"/>
      <x:c r="B7" s="60"/>
      <x:c r="C7" s="60"/>
      <x:c r="D7" s="60"/>
      <x:c r="E7" s="60"/>
      <x:c r="F7" s="60"/>
      <x:c r="G7" s="60"/>
      <x:c r="H7" s="60"/>
      <x:c r="I7" s="67"/>
      <x:c r="J7" s="67"/>
      <x:c r="K7" s="67"/>
      <x:c r="L7" s="67"/>
      <x:c r="M7" s="60"/>
      <x:c r="N7" s="60"/>
      <x:c r="O7" s="60"/>
      <x:c r="P7" s="60"/>
    </x:row>
    <x:row r="8">
      <x:c r="A8" s="62" t="str">
        <x:v>Human decision required</x:v>
      </x:c>
      <x:c r="B8" s="62"/>
      <x:c r="C8" s="62"/>
      <x:c r="D8" s="62"/>
      <x:c r="E8" s="64" t="str">
        <x:v>Priority ≥ 70</x:v>
      </x:c>
      <x:c r="F8" s="64"/>
      <x:c r="G8" s="64"/>
      <x:c r="H8" s="64"/>
      <x:c r="I8" s="66" t="str">
        <x:v>Identity and evidence remain separate</x:v>
      </x:c>
      <x:c r="J8" s="66"/>
      <x:c r="K8" s="66"/>
      <x:c r="L8" s="66"/>
      <x:c r="M8" s="64" t="str">
        <x:v>No external actions enabled</x:v>
      </x:c>
      <x:c r="N8" s="64"/>
      <x:c r="O8" s="64"/>
      <x:c r="P8" s="64"/>
    </x:row>
    <x:row r="12" ht="30" customHeight="1">
      <x:c r="A12" s="10" t="str">
        <x:v>Month</x:v>
      </x:c>
      <x:c r="B12" s="10" t="str">
        <x:v>Certification index</x:v>
      </x:c>
      <x:c r="K12" s="69" t="str">
        <x:v>Highest-priority review cases</x:v>
      </x:c>
      <x:c r="L12" s="69"/>
      <x:c r="M12" s="69"/>
      <x:c r="N12" s="69"/>
      <x:c r="O12" s="69"/>
      <x:c r="P12" s="69"/>
    </x:row>
    <x:row r="13" ht="30" customHeight="1">
      <x:c r="A13" s="15" t="str">
        <x:v>Jan 2026</x:v>
      </x:c>
      <x:c r="B13" s="15" t="n">
        <x:v>64</x:v>
      </x:c>
      <x:c r="K13" s="10" t="str">
        <x:v>Brand</x:v>
      </x:c>
      <x:c r="L13" s="10" t="str">
        <x:v>Qi ID</x:v>
      </x:c>
      <x:c r="M13" s="10" t="str">
        <x:v>Priority</x:v>
      </x:c>
      <x:c r="N13" s="10" t="str">
        <x:v>Confidence</x:v>
      </x:c>
      <x:c r="O13" s="10" t="str">
        <x:v>Snapshot</x:v>
      </x:c>
      <x:c r="P13" s="10" t="str">
        <x:v>Next action</x:v>
      </x:c>
    </x:row>
    <x:row r="14">
      <x:c r="A14" s="16" t="str">
        <x:v>Feb 2026</x:v>
      </x:c>
      <x:c r="B14" s="16" t="n">
        <x:v>71</x:v>
      </x:c>
      <x:c r="K14" s="15" t="str">
        <x:v>HX</x:v>
      </x:c>
      <x:c r="L14" s="15" t="str">
        <x:v>QI-27167</x:v>
      </x:c>
      <x:c r="M14" s="15" t="n">
        <x:v>88</x:v>
      </x:c>
      <x:c r="N14" s="27" t="n">
        <x:v>0.34</x:v>
      </x:c>
      <x:c r="O14" s="15" t="str">
        <x:v>No match</x:v>
      </x:c>
      <x:c r="P14" s="15" t="str">
        <x:v>Resolve identity</x:v>
      </x:c>
    </x:row>
    <x:row r="15">
      <x:c r="A15" s="16" t="str">
        <x:v>Mar 2026</x:v>
      </x:c>
      <x:c r="B15" s="16" t="n">
        <x:v>58</x:v>
      </x:c>
      <x:c r="K15" s="16" t="str">
        <x:v>GEYOTO</x:v>
      </x:c>
      <x:c r="L15" s="16" t="str">
        <x:v>QI-26501</x:v>
      </x:c>
      <x:c r="M15" s="16" t="n">
        <x:v>84</x:v>
      </x:c>
      <x:c r="N15" s="28" t="n">
        <x:v>0.76</x:v>
      </x:c>
      <x:c r="O15" s="16" t="str">
        <x:v>Possible</x:v>
      </x:c>
      <x:c r="P15" s="16" t="str">
        <x:v>Confirm entity</x:v>
      </x:c>
    </x:row>
    <x:row r="16">
      <x:c r="A16" s="16" t="str">
        <x:v>Apr 2026</x:v>
      </x:c>
      <x:c r="B16" s="16" t="n">
        <x:v>82</x:v>
      </x:c>
      <x:c r="K16" s="16" t="str">
        <x:v>Luxshare-ICT</x:v>
      </x:c>
      <x:c r="L16" s="16" t="str">
        <x:v>QI-25497</x:v>
      </x:c>
      <x:c r="M16" s="16" t="n">
        <x:v>78</x:v>
      </x:c>
      <x:c r="N16" s="28" t="n">
        <x:v>0.81</x:v>
      </x:c>
      <x:c r="O16" s="16" t="str">
        <x:v>Possible</x:v>
      </x:c>
      <x:c r="P16" s="16" t="str">
        <x:v>Validate affiliate</x:v>
      </x:c>
    </x:row>
    <x:row r="17">
      <x:c r="A17" s="16" t="str">
        <x:v>May 2026</x:v>
      </x:c>
      <x:c r="B17" s="16" t="n">
        <x:v>76</x:v>
      </x:c>
      <x:c r="K17" s="16" t="str">
        <x:v>Tesla</x:v>
      </x:c>
      <x:c r="L17" s="16" t="str">
        <x:v>QI-13848</x:v>
      </x:c>
      <x:c r="M17" s="16" t="n">
        <x:v>62</x:v>
      </x:c>
      <x:c r="N17" s="28" t="n">
        <x:v>0.99</x:v>
      </x:c>
      <x:c r="O17" s="16" t="str">
        <x:v>No match</x:v>
      </x:c>
      <x:c r="P17" s="16" t="str">
        <x:v>Monitor</x:v>
      </x:c>
    </x:row>
    <x:row r="18">
      <x:c r="A18" s="16" t="str">
        <x:v>Jun 2026</x:v>
      </x:c>
      <x:c r="B18" s="16" t="n">
        <x:v>96</x:v>
      </x:c>
      <x:c r="K18" s="17" t="str">
        <x:v>ConvenientPower</x:v>
      </x:c>
      <x:c r="L18" s="17" t="str">
        <x:v>QI-12691</x:v>
      </x:c>
      <x:c r="M18" s="17" t="n">
        <x:v>29</x:v>
      </x:c>
      <x:c r="N18" s="29" t="n">
        <x:v>0.97</x:v>
      </x:c>
      <x:c r="O18" s="17" t="str">
        <x:v>Public list</x:v>
      </x:c>
      <x:c r="P18" s="17" t="str">
        <x:v>No action</x:v>
      </x:c>
    </x:row>
    <x:row r="19">
      <x:c r="A19" s="17" t="str">
        <x:v>Jul 2026</x:v>
      </x:c>
      <x:c r="B19" s="17" t="n">
        <x:v>43</x:v>
      </x:c>
    </x:row>
    <x:row r="21">
      <x:c r="K21" s="69" t="str">
        <x:v>Illustrative scenario snapshot</x:v>
      </x:c>
      <x:c r="L21" s="69"/>
      <x:c r="M21" s="69"/>
      <x:c r="N21" s="69"/>
      <x:c r="O21" s="69"/>
      <x:c r="P21" s="69"/>
    </x:row>
    <x:row r="22">
      <x:c r="K22" s="76" t="str">
        <x:v>Annual units</x:v>
      </x:c>
      <x:c r="L22" s="76"/>
      <x:c r="M22" s="76"/>
      <x:c r="N22" s="79" t="n">
        <x:f>'Scenario Inputs'!B6</x:f>
        <x:v>250000</x:v>
      </x:c>
      <x:c r="O22" s="79"/>
      <x:c r="P22" s="79"/>
    </x:row>
    <x:row r="23">
      <x:c r="K23" s="77" t="str">
        <x:v>Base amount</x:v>
      </x:c>
      <x:c r="L23" s="77"/>
      <x:c r="M23" s="77"/>
      <x:c r="N23" s="80" t="n">
        <x:f>'Scenario Inputs'!B16</x:f>
        <x:v>50625</x:v>
      </x:c>
      <x:c r="O23" s="80"/>
      <x:c r="P23" s="80"/>
    </x:row>
    <x:row r="24">
      <x:c r="K24" s="77" t="str">
        <x:v>Low amount</x:v>
      </x:c>
      <x:c r="L24" s="77"/>
      <x:c r="M24" s="77"/>
      <x:c r="N24" s="80" t="n">
        <x:f>'Scenario Inputs'!B17</x:f>
        <x:v>37968.75</x:v>
      </x:c>
      <x:c r="O24" s="80"/>
      <x:c r="P24" s="80"/>
    </x:row>
    <x:row r="25">
      <x:c r="K25" s="78" t="str">
        <x:v>High amount</x:v>
      </x:c>
      <x:c r="L25" s="78"/>
      <x:c r="M25" s="78"/>
      <x:c r="N25" s="81" t="n">
        <x:f>'Scenario Inputs'!B18</x:f>
        <x:v>63281.25</x:v>
      </x:c>
      <x:c r="O25" s="81"/>
      <x:c r="P25" s="81"/>
    </x:row>
    <x:row r="28">
      <x:c r="A28" s="84" t="str">
        <x:v>Analytical boundary: a missing public-list match is a research condition, not evidence of licensing status. Certification counts are not shipment estimates. All campaign records in this workbook are synthetic.</x:v>
      </x:c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</x:row>
  </x:sheetData>
  <x:mergeCells>
    <x:mergeCell ref="A1:P2"/>
    <x:mergeCell ref="A3:P3"/>
    <x:mergeCell ref="A5:D5"/>
    <x:mergeCell ref="A6:D7"/>
    <x:mergeCell ref="A8:D8"/>
    <x:mergeCell ref="E5:H5"/>
    <x:mergeCell ref="E6:H7"/>
    <x:mergeCell ref="E8:H8"/>
    <x:mergeCell ref="I5:L5"/>
    <x:mergeCell ref="I6:L7"/>
    <x:mergeCell ref="I8:L8"/>
    <x:mergeCell ref="M5:P5"/>
    <x:mergeCell ref="M6:P7"/>
    <x:mergeCell ref="M8:P8"/>
    <x:mergeCell ref="K12:P12"/>
    <x:mergeCell ref="K21:P21"/>
    <x:mergeCell ref="N22:P22"/>
    <x:mergeCell ref="N23:P23"/>
    <x:mergeCell ref="N24:P24"/>
    <x:mergeCell ref="N25:P25"/>
    <x:mergeCell ref="A28:P29"/>
  </x:mergeCells>
  <x:conditionalFormatting sqref="M14:M18">
    <x:cfRule type="dataBar" priority="1">
      <x:dataBar>
        <x:cfvo type="min"/>
        <x:cfvo type="max"/>
        <x:color rgb="FFF2C14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e05b85290f64e9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F2C14E"/>
            </x14:dataBar>
          </x14:cfRule>
          <xm:sqref>M14:M18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.110000133514404" hidden="0" customWidth="1"/>
    <x:col min="3" max="3" width="11.109999656677246" hidden="0" customWidth="1"/>
    <x:col min="4" max="4" width="26" hidden="0" customWidth="1"/>
    <x:col min="5" max="5" width="5.559999942779541" hidden="0" customWidth="1"/>
    <x:col min="6" max="6" width="7.329999923706055" hidden="0" customWidth="1"/>
    <x:col min="7" max="7" width="7.78000020980835" hidden="0" customWidth="1"/>
    <x:col min="8" max="8" width="6.889999866485596" hidden="0" customWidth="1"/>
    <x:col min="9" max="9" width="13.329999923706055" hidden="0" customWidth="1"/>
    <x:col min="10" max="10" width="12.5600004196167" hidden="0" customWidth="1"/>
    <x:col min="11" max="11" width="6.889999866485596" hidden="0" customWidth="1"/>
    <x:col min="12" max="12" width="8" hidden="0" customWidth="1"/>
    <x:col min="13" max="13" width="24" hidden="0" customWidth="1"/>
    <x:col min="14" max="14" width="46" hidden="0" customWidth="1"/>
  </x:cols>
  <x:sheetData>
    <x:row r="1" ht="24" customHeight="1">
      <x:c r="A1" s="3" t="str">
        <x:v>PoolSignal | Review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4" customHeight="1">
      <x:c r="A3" s="6" t="str">
        <x:v>Evidence-first cases · public product signals · no licensing conclusions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30" customHeight="1">
      <x:c r="A5" s="10" t="str">
        <x:v>Case ID</x:v>
      </x:c>
      <x:c r="B5" s="10" t="str">
        <x:v>Qi ID</x:v>
      </x:c>
      <x:c r="C5" s="10" t="str">
        <x:v>Brand</x:v>
      </x:c>
      <x:c r="D5" s="10" t="str">
        <x:v>Product</x:v>
      </x:c>
      <x:c r="E5" s="10" t="str">
        <x:v>Type</x:v>
      </x:c>
      <x:c r="F5" s="10" t="str">
        <x:v>Load W</x:v>
      </x:c>
      <x:c r="G5" s="10" t="str">
        <x:v>Certified</x:v>
      </x:c>
      <x:c r="H5" s="10" t="str">
        <x:v>Priority</x:v>
      </x:c>
      <x:c r="I5" s="10" t="str">
        <x:v>Entity Confidence</x:v>
      </x:c>
      <x:c r="J5" s="10" t="str">
        <x:v>Public Snapshot</x:v>
      </x:c>
      <x:c r="K5" s="10" t="str">
        <x:v>Status</x:v>
      </x:c>
      <x:c r="L5" s="10" t="str">
        <x:v>Owner</x:v>
      </x:c>
      <x:c r="M5" s="10" t="str">
        <x:v>Next Action</x:v>
      </x:c>
      <x:c r="N5" s="10" t="str">
        <x:v>Source URL</x:v>
      </x:c>
    </x:row>
    <x:row r="6">
      <x:c r="A6" s="15" t="str">
        <x:v>case-hx-27167</x:v>
      </x:c>
      <x:c r="B6" s="15" t="str">
        <x:v>QI-27167</x:v>
      </x:c>
      <x:c r="C6" s="15" t="str">
        <x:v>HX</x:v>
      </x:c>
      <x:c r="D6" s="15" t="str">
        <x:v>Magnetic wireless charger</x:v>
      </x:c>
      <x:c r="E6" s="15" t="str">
        <x:v>PTx</x:v>
      </x:c>
      <x:c r="F6" s="18" t="n">
        <x:v>25</x:v>
      </x:c>
      <x:c r="G6" s="21" t="n">
        <x:v>46192</x:v>
      </x:c>
      <x:c r="H6" s="24" t="n">
        <x:v>88</x:v>
      </x:c>
      <x:c r="I6" s="27" t="n">
        <x:v>0.34</x:v>
      </x:c>
      <x:c r="J6" s="15" t="str">
        <x:v>No match found</x:v>
      </x:c>
      <x:c r="K6" s="15" t="str">
        <x:v>Review</x:v>
      </x:c>
      <x:c r="L6" s="15" t="str">
        <x:v>Analyst A</x:v>
      </x:c>
      <x:c r="M6" s="15" t="str">
        <x:v>Resolve legal identity</x:v>
      </x:c>
      <x:c r="N6" s="15" t="str">
        <x:v>https://jpsapi.wirelesspowerconsortium.com/products/qi/27167</x:v>
      </x:c>
    </x:row>
    <x:row r="7">
      <x:c r="A7" s="16" t="str">
        <x:v>case-geyoto-26501</x:v>
      </x:c>
      <x:c r="B7" s="16" t="str">
        <x:v>QI-26501</x:v>
      </x:c>
      <x:c r="C7" s="16" t="str">
        <x:v>GEYOTO</x:v>
      </x:c>
      <x:c r="D7" s="16" t="str">
        <x:v>Wireless Charger</x:v>
      </x:c>
      <x:c r="E7" s="16" t="str">
        <x:v>PTx</x:v>
      </x:c>
      <x:c r="F7" s="19" t="n">
        <x:v>25</x:v>
      </x:c>
      <x:c r="G7" s="22" t="n">
        <x:v>46050</x:v>
      </x:c>
      <x:c r="H7" s="25" t="n">
        <x:v>84</x:v>
      </x:c>
      <x:c r="I7" s="28" t="n">
        <x:v>0.76</x:v>
      </x:c>
      <x:c r="J7" s="16" t="str">
        <x:v>Possible</x:v>
      </x:c>
      <x:c r="K7" s="16" t="str">
        <x:v>Review</x:v>
      </x:c>
      <x:c r="L7" s="16" t="str">
        <x:v>Analyst B</x:v>
      </x:c>
      <x:c r="M7" s="16" t="str">
        <x:v>Confirm regional entity</x:v>
      </x:c>
      <x:c r="N7" s="16" t="str">
        <x:v>https://jpsapi.wirelesspowerconsortium.com/products/qi/26501</x:v>
      </x:c>
    </x:row>
    <x:row r="8">
      <x:c r="A8" s="16" t="str">
        <x:v>case-luxshare-25497</x:v>
      </x:c>
      <x:c r="B8" s="16" t="str">
        <x:v>QI-25497</x:v>
      </x:c>
      <x:c r="C8" s="16" t="str">
        <x:v>Luxshare-ICT</x:v>
      </x:c>
      <x:c r="D8" s="16" t="str">
        <x:v>Wireless Phone Charger</x:v>
      </x:c>
      <x:c r="E8" s="16" t="str">
        <x:v>PTx</x:v>
      </x:c>
      <x:c r="F8" s="19" t="n">
        <x:v>15</x:v>
      </x:c>
      <x:c r="G8" s="22" t="n">
        <x:v>46062</x:v>
      </x:c>
      <x:c r="H8" s="25" t="n">
        <x:v>78</x:v>
      </x:c>
      <x:c r="I8" s="28" t="n">
        <x:v>0.81</x:v>
      </x:c>
      <x:c r="J8" s="16" t="str">
        <x:v>Possible</x:v>
      </x:c>
      <x:c r="K8" s="16" t="str">
        <x:v>Review</x:v>
      </x:c>
      <x:c r="L8" s="16" t="str">
        <x:v>Analyst A</x:v>
      </x:c>
      <x:c r="M8" s="16" t="str">
        <x:v>Validate affiliate mapping</x:v>
      </x:c>
      <x:c r="N8" s="16" t="str">
        <x:v>https://jpsapi.wirelesspowerconsortium.com/products/qi/25497</x:v>
      </x:c>
    </x:row>
    <x:row r="9">
      <x:c r="A9" s="16" t="str">
        <x:v>case-tesla-13848</x:v>
      </x:c>
      <x:c r="B9" s="16" t="str">
        <x:v>QI-13848</x:v>
      </x:c>
      <x:c r="C9" s="16" t="str">
        <x:v>Tesla</x:v>
      </x:c>
      <x:c r="D9" s="16" t="str">
        <x:v>Wireless Phone Charger</x:v>
      </x:c>
      <x:c r="E9" s="16" t="str">
        <x:v>PTx</x:v>
      </x:c>
      <x:c r="F9" s="19" t="n">
        <x:v>15</x:v>
      </x:c>
      <x:c r="G9" s="22" t="n">
        <x:v>44917</x:v>
      </x:c>
      <x:c r="H9" s="25" t="n">
        <x:v>62</x:v>
      </x:c>
      <x:c r="I9" s="28" t="n">
        <x:v>0.99</x:v>
      </x:c>
      <x:c r="J9" s="16" t="str">
        <x:v>No match found</x:v>
      </x:c>
      <x:c r="K9" s="16" t="str">
        <x:v>Monitor</x:v>
      </x:c>
      <x:c r="L9" s="16" t="str">
        <x:v>Analyst C</x:v>
      </x:c>
      <x:c r="M9" s="16" t="str">
        <x:v>Historical monitoring</x:v>
      </x:c>
      <x:c r="N9" s="16" t="str">
        <x:v>https://jpsapi.wirelesspowerconsortium.com/products/qi/13848</x:v>
      </x:c>
    </x:row>
    <x:row r="10">
      <x:c r="A10" s="17" t="str">
        <x:v>case-convenient-12691</x:v>
      </x:c>
      <x:c r="B10" s="17" t="str">
        <x:v>QI-12691</x:v>
      </x:c>
      <x:c r="C10" s="17" t="str">
        <x:v>ConvenientPower</x:v>
      </x:c>
      <x:c r="D10" s="17" t="str">
        <x:v>CPS4038 EVB</x:v>
      </x:c>
      <x:c r="E10" s="17" t="str">
        <x:v>PRx</x:v>
      </x:c>
      <x:c r="F10" s="20" t="n">
        <x:v>5</x:v>
      </x:c>
      <x:c r="G10" s="23" t="n">
        <x:v>44722</x:v>
      </x:c>
      <x:c r="H10" s="26" t="n">
        <x:v>29</x:v>
      </x:c>
      <x:c r="I10" s="29" t="n">
        <x:v>0.97</x:v>
      </x:c>
      <x:c r="J10" s="17" t="str">
        <x:v>Public-list match</x:v>
      </x:c>
      <x:c r="K10" s="17" t="str">
        <x:v>Monitor</x:v>
      </x:c>
      <x:c r="L10" s="17" t="str">
        <x:v>Analyst C</x:v>
      </x:c>
      <x:c r="M10" s="17" t="str">
        <x:v>No action</x:v>
      </x:c>
      <x:c r="N10" s="17" t="str">
        <x:v>https://jpsapi.wirelesspowerconsortium.com/products/qi/12691</x:v>
      </x:c>
    </x:row>
  </x:sheetData>
  <x:mergeCells>
    <x:mergeCell ref="A1:N2"/>
    <x:mergeCell ref="A3:N3"/>
  </x:mergeCells>
  <x:conditionalFormatting sqref="H6:H10">
    <x:cfRule type="dataBar" priority="1">
      <x:dataBar>
        <x:cfvo type="min"/>
        <x:cfvo type="max"/>
        <x:color rgb="FFF2C14E"/>
      </x:dataBar>
      <x:extLst>
        <x:ext xmlns:x14="http://schemas.microsoft.com/office/spreadsheetml/2009/9/main" uri="{B025F937-C7B1-47D3-B67F-A62EFF666E3E}">
          <x14:id>{C49AF6EF-CBBC-9ADB-7507-0D54A53A1F4A}</x14:id>
        </x:ext>
      </x:extLst>
    </x:cfRule>
  </x:conditionalFormatting>
  <x:conditionalFormatting sqref="I6:I10">
    <x:cfRule type="dataBar" priority="2">
      <x:dataBar>
        <x:cfvo type="min"/>
        <x:cfvo type="max"/>
        <x:color rgb="FF2D9CDB"/>
      </x:dataBar>
      <x:extLst>
        <x:ext xmlns:x14="http://schemas.microsoft.com/office/spreadsheetml/2009/9/main" uri="{B025F937-C7B1-47D3-B67F-A62EFF666E3E}">
          <x14:id>{E6A33B56-EF1D-52D5-865F-208F398C711B}</x14:id>
        </x:ext>
      </x:extLst>
    </x:cfRule>
  </x:conditionalFormatting>
  <x:dataValidations count="2">
    <x:dataValidation type="list" sqref="K6:K205">
      <x:formula1>"Review,Approved,Monitor,Returned"</x:formula1>
    </x:dataValidation>
    <x:dataValidation type="list" sqref="L6:L205">
      <x:formula1>"Analyst A,Analyst B,Analyst C,Unassigned"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4fbe10e5140e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49AF6EF-CBBC-9ADB-7507-0D54A53A1F4A}">
            <x14:dataBar gradient="1">
              <x14:cfvo type="min"/>
              <x14:cfvo type="max"/>
              <x14:fillColor rgb="FFF2C14E"/>
            </x14:dataBar>
          </x14:cfRule>
          <xm:sqref>H6:H10</xm:sqref>
        </x14:conditionalFormatting>
        <x14:conditionalFormatting>
          <x14:cfRule type="dataBar" priority="2" id="{E6A33B56-EF1D-52D5-865F-208F398C711B}">
            <x14:dataBar gradient="1">
              <x14:cfvo type="min"/>
              <x14:cfvo type="max"/>
              <x14:fillColor rgb="FF2D9CDB"/>
            </x14:dataBar>
          </x14:cfRule>
          <xm:sqref>I6:I10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0" hidden="0" customWidth="1"/>
    <x:col min="3" max="3" width="16.889999389648438" hidden="0" customWidth="1"/>
    <x:col min="4" max="4" width="9.5600004196167" hidden="0" customWidth="1"/>
    <x:col min="5" max="5" width="12.109999656677246" hidden="0" customWidth="1"/>
    <x:col min="6" max="6" width="13.670000076293945" hidden="0" customWidth="1"/>
    <x:col min="7" max="7" width="32" hidden="0" customWidth="1"/>
    <x:col min="8" max="8" width="46" hidden="0" customWidth="1"/>
  </x:cols>
  <x:sheetData>
    <x:row r="1" ht="24" customHeight="1">
      <x:c r="A1" s="3" t="str">
        <x:v>PoolSignal | Entity Crosswalk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6" t="str">
        <x:v>Candidate links are proposals until a reviewer approves them</x:v>
      </x:c>
      <x:c r="B3" s="6"/>
      <x:c r="C3" s="6"/>
      <x:c r="D3" s="6"/>
      <x:c r="E3" s="6"/>
      <x:c r="F3" s="6"/>
      <x:c r="G3" s="6"/>
      <x:c r="H3" s="6"/>
    </x:row>
    <x:row r="5" ht="30" customHeight="1">
      <x:c r="A5" s="10" t="str">
        <x:v>Brand</x:v>
      </x:c>
      <x:c r="B5" s="10" t="str">
        <x:v>Candidate Legal Entity</x:v>
      </x:c>
      <x:c r="C5" s="10" t="str">
        <x:v>Resolution Method</x:v>
      </x:c>
      <x:c r="D5" s="10" t="str">
        <x:v>Confidence</x:v>
      </x:c>
      <x:c r="E5" s="10" t="str">
        <x:v>Public-list State</x:v>
      </x:c>
      <x:c r="F5" s="10" t="str">
        <x:v>Reviewer Decision</x:v>
      </x:c>
      <x:c r="G5" s="10" t="str">
        <x:v>Evidence</x:v>
      </x:c>
      <x:c r="H5" s="10" t="str">
        <x:v>Source</x:v>
      </x:c>
    </x:row>
    <x:row r="6">
      <x:c r="A6" s="15" t="str">
        <x:v>HX</x:v>
      </x:c>
      <x:c r="B6" s="15" t="str">
        <x:v>Unresolved</x:v>
      </x:c>
      <x:c r="C6" s="15" t="str">
        <x:v>Abstained</x:v>
      </x:c>
      <x:c r="D6" s="27" t="n">
        <x:v>0.34</x:v>
      </x:c>
      <x:c r="E6" s="15" t="str">
        <x:v>No match found</x:v>
      </x:c>
      <x:c r="F6" s="15" t="str">
        <x:v>Research</x:v>
      </x:c>
      <x:c r="G6" s="15" t="str">
        <x:v>Ambiguous short brand</x:v>
      </x:c>
      <x:c r="H6" s="15" t="str">
        <x:v>https://jpsapi.wirelesspowerconsortium.com/products/qi/27167</x:v>
      </x:c>
    </x:row>
    <x:row r="7">
      <x:c r="A7" s="16" t="str">
        <x:v>GEYOTO</x:v>
      </x:c>
      <x:c r="B7" s="16" t="str">
        <x:v>GEYOTO Technology Co. Ltd.</x:v>
      </x:c>
      <x:c r="C7" s="16" t="str">
        <x:v>Normalized name + domain</x:v>
      </x:c>
      <x:c r="D7" s="28" t="n">
        <x:v>0.76</x:v>
      </x:c>
      <x:c r="E7" s="16" t="str">
        <x:v>Possible</x:v>
      </x:c>
      <x:c r="F7" s="16" t="str">
        <x:v>Pending</x:v>
      </x:c>
      <x:c r="G7" s="16" t="str">
        <x:v>Below 0.85 threshold</x:v>
      </x:c>
      <x:c r="H7" s="16" t="str">
        <x:v>https://jpsapi.wirelesspowerconsortium.com/products/qi/26501</x:v>
      </x:c>
    </x:row>
    <x:row r="8">
      <x:c r="A8" s="16" t="str">
        <x:v>Luxshare-ICT</x:v>
      </x:c>
      <x:c r="B8" s="16" t="str">
        <x:v>Luxshare Precision Industry Co. Ltd.</x:v>
      </x:c>
      <x:c r="C8" s="16" t="str">
        <x:v>Corporate-family candidate</x:v>
      </x:c>
      <x:c r="D8" s="28" t="n">
        <x:v>0.81</x:v>
      </x:c>
      <x:c r="E8" s="16" t="str">
        <x:v>Possible</x:v>
      </x:c>
      <x:c r="F8" s="16" t="str">
        <x:v>Pending</x:v>
      </x:c>
      <x:c r="G8" s="16" t="str">
        <x:v>Affiliate boundary unresolved</x:v>
      </x:c>
      <x:c r="H8" s="16" t="str">
        <x:v>https://jpsapi.wirelesspowerconsortium.com/products/qi/25497</x:v>
      </x:c>
    </x:row>
    <x:row r="9">
      <x:c r="A9" s="16" t="str">
        <x:v>Tesla</x:v>
      </x:c>
      <x:c r="B9" s="16" t="str">
        <x:v>Tesla, Inc.</x:v>
      </x:c>
      <x:c r="C9" s="16" t="str">
        <x:v>Approved alias</x:v>
      </x:c>
      <x:c r="D9" s="28" t="n">
        <x:v>0.99</x:v>
      </x:c>
      <x:c r="E9" s="16" t="str">
        <x:v>No match found</x:v>
      </x:c>
      <x:c r="F9" s="16" t="str">
        <x:v>Monitor</x:v>
      </x:c>
      <x:c r="G9" s="16" t="str">
        <x:v>Identity clear; public state distinct</x:v>
      </x:c>
      <x:c r="H9" s="16" t="str">
        <x:v>https://jpsapi.wirelesspowerconsortium.com/products/qi/13848</x:v>
      </x:c>
    </x:row>
    <x:row r="10">
      <x:c r="A10" s="17" t="str">
        <x:v>ConvenientPower</x:v>
      </x:c>
      <x:c r="B10" s="17" t="str">
        <x:v>ConvenientPower HK Limited</x:v>
      </x:c>
      <x:c r="C10" s="17" t="str">
        <x:v>Approved alias</x:v>
      </x:c>
      <x:c r="D10" s="29" t="n">
        <x:v>0.97</x:v>
      </x:c>
      <x:c r="E10" s="17" t="str">
        <x:v>Public-list match</x:v>
      </x:c>
      <x:c r="F10" s="17" t="str">
        <x:v>Approved</x:v>
      </x:c>
      <x:c r="G10" s="17" t="str">
        <x:v>Name and public record align</x:v>
      </x:c>
      <x:c r="H10" s="17" t="str">
        <x:v>https://www.via-la.com/licensing-programs/qi-wireless-power/</x:v>
      </x:c>
    </x:row>
  </x:sheetData>
  <x:mergeCells>
    <x:mergeCell ref="A1:H2"/>
    <x:mergeCell ref="A3:H3"/>
  </x:mergeCells>
  <x:conditionalFormatting sqref="D6:D10">
    <x:cfRule type="dataBar" priority="1">
      <x:dataBar>
        <x:cfvo type="min"/>
        <x:cfvo type="max"/>
        <x:color rgb="FF2D9CDB"/>
      </x:dataBar>
      <x:extLst>
        <x:ext xmlns:x14="http://schemas.microsoft.com/office/spreadsheetml/2009/9/main" uri="{B025F937-C7B1-47D3-B67F-A62EFF666E3E}">
          <x14:id>{56C4A431-86E5-F1AD-10C3-EFD5234DEC86}</x14:id>
        </x:ext>
      </x:extLst>
    </x:cfRule>
  </x:conditionalFormatting>
  <x:dataValidations count="1">
    <x:dataValidation type="list" sqref="F6:F205">
      <x:formula1>"Pending,Approved,Research,Monitor,Rejected"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6aecdd42b94a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6C4A431-86E5-F1AD-10C3-EFD5234DEC86}">
            <x14:dataBar gradient="1">
              <x14:cfvo type="min"/>
              <x14:cfvo type="max"/>
              <x14:fillColor rgb="FF2D9CDB"/>
            </x14:dataBar>
          </x14:cfRule>
          <xm:sqref>D6:D10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.109999656677246" hidden="0" customWidth="1"/>
    <x:col min="3" max="3" width="8" hidden="0" customWidth="1"/>
    <x:col min="4" max="4" width="10.220000267028809" hidden="0" customWidth="1"/>
    <x:col min="5" max="5" width="9.220000267028809" hidden="0" customWidth="1"/>
    <x:col min="6" max="6" width="8.220000267028809" hidden="0" customWidth="1"/>
    <x:col min="7" max="7" width="13.329999923706055" hidden="0" customWidth="1"/>
    <x:col min="8" max="8" width="10.670000076293945" hidden="0" customWidth="1"/>
    <x:col min="9" max="9" width="8.670000076293945" hidden="0" customWidth="1"/>
    <x:col min="10" max="10" width="26" hidden="0" customWidth="1"/>
    <x:col min="11" max="11" width="8.329999923706055" hidden="0" customWidth="1"/>
  </x:cols>
  <x:sheetData>
    <x:row r="1" ht="24" customHeight="1">
      <x:c r="A1" s="3" t="str">
        <x:v>PoolSignal | Campaign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6" t="str">
        <x:v>Synthetic workflow records only · no real notices or outreach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5" ht="30" customHeight="1">
      <x:c r="A5" s="10" t="str">
        <x:v>Case ID</x:v>
      </x:c>
      <x:c r="B5" s="10" t="str">
        <x:v>Stage</x:v>
      </x:c>
      <x:c r="C5" s="10" t="str">
        <x:v>Owner</x:v>
      </x:c>
      <x:c r="D5" s="10" t="str">
        <x:v>Activity Date</x:v>
      </x:c>
      <x:c r="E5" s="10" t="str">
        <x:v>Last Touch</x:v>
      </x:c>
      <x:c r="F5" s="10" t="str">
        <x:v>Next Due</x:v>
      </x:c>
      <x:c r="G5" s="10" t="str">
        <x:v>Days Since Touch</x:v>
      </x:c>
      <x:c r="H5" s="10" t="str">
        <x:v>Aging Bucket</x:v>
      </x:c>
      <x:c r="I5" s="10" t="str">
        <x:v>Response</x:v>
      </x:c>
      <x:c r="J5" s="10" t="str">
        <x:v>Next Action</x:v>
      </x:c>
      <x:c r="K5" s="10" t="str">
        <x:v>Synthetic</x:v>
      </x:c>
    </x:row>
    <x:row r="6">
      <x:c r="A6" s="15" t="str">
        <x:v>case-hx-27167</x:v>
      </x:c>
      <x:c r="B6" s="15" t="str">
        <x:v>Entity research</x:v>
      </x:c>
      <x:c r="C6" s="15" t="str">
        <x:v>Analyst A</x:v>
      </x:c>
      <x:c r="D6" s="21" t="n">
        <x:v>46217</x:v>
      </x:c>
      <x:c r="E6" s="21" t="n">
        <x:v>46217</x:v>
      </x:c>
      <x:c r="F6" s="21" t="n">
        <x:v>46219</x:v>
      </x:c>
      <x:c r="G6" s="24" t="n">
        <x:f>IF(E6="","",TODAY()-E6)</x:f>
        <x:v>0</x:v>
      </x:c>
      <x:c r="H6" s="15" t="str">
        <x:f>IF(G6="","",IF(F6&lt;TODAY(),"Overdue",IF(G6&gt;30,"30+ days",IF(G6&gt;14,"15-30 days",IF(G6&gt;7,"8-14 days","0-7 days")))))</x:f>
      </x:c>
      <x:c r="I6" s="15" t="str">
        <x:v>Pending</x:v>
      </x:c>
      <x:c r="J6" s="15" t="str">
        <x:v>Resolve legal identity</x:v>
      </x:c>
      <x:c r="K6" s="35" t="b">
        <x:v>1</x:v>
      </x:c>
    </x:row>
    <x:row r="7">
      <x:c r="A7" s="16" t="str">
        <x:v>case-geyoto-26501</x:v>
      </x:c>
      <x:c r="B7" s="16" t="str">
        <x:v>Human review</x:v>
      </x:c>
      <x:c r="C7" s="16" t="str">
        <x:v>Analyst B</x:v>
      </x:c>
      <x:c r="D7" s="22" t="n">
        <x:v>46213</x:v>
      </x:c>
      <x:c r="E7" s="22" t="n">
        <x:v>46213</x:v>
      </x:c>
      <x:c r="F7" s="22" t="n">
        <x:v>46218</x:v>
      </x:c>
      <x:c r="G7" s="25" t="n">
        <x:f>IF(E7="","",TODAY()-E7)</x:f>
        <x:v>4</x:v>
      </x:c>
      <x:c r="H7" s="16" t="str">
        <x:f>IF(G7="","",IF(F7&lt;TODAY(),"Overdue",IF(G7&gt;30,"30+ days",IF(G7&gt;14,"15-30 days",IF(G7&gt;7,"8-14 days","0-7 days")))))</x:f>
        <x:v>0-7 days</x:v>
      </x:c>
      <x:c r="I7" s="16" t="str">
        <x:v>Pending</x:v>
      </x:c>
      <x:c r="J7" s="16" t="str">
        <x:v>Confirm regional entity</x:v>
      </x:c>
      <x:c r="K7" s="36" t="b">
        <x:v>1</x:v>
      </x:c>
    </x:row>
    <x:row r="8">
      <x:c r="A8" s="16" t="str">
        <x:v>case-luxshare-25497</x:v>
      </x:c>
      <x:c r="B8" s="16" t="str">
        <x:v>Human review</x:v>
      </x:c>
      <x:c r="C8" s="16" t="str">
        <x:v>Analyst A</x:v>
      </x:c>
      <x:c r="D8" s="22" t="n">
        <x:v>46204</x:v>
      </x:c>
      <x:c r="E8" s="22" t="n">
        <x:v>46204</x:v>
      </x:c>
      <x:c r="F8" s="22" t="n">
        <x:v>46215</x:v>
      </x:c>
      <x:c r="G8" s="25" t="n">
        <x:f>IF(E8="","",TODAY()-E8)</x:f>
        <x:v>13</x:v>
      </x:c>
      <x:c r="H8" s="16" t="str">
        <x:f>IF(G8="","",IF(F8&lt;TODAY(),"Overdue",IF(G8&gt;30,"30+ days",IF(G8&gt;14,"15-30 days",IF(G8&gt;7,"8-14 days","0-7 days")))))</x:f>
        <x:v>Overdue</x:v>
      </x:c>
      <x:c r="I8" s="16" t="str">
        <x:v>Pending</x:v>
      </x:c>
      <x:c r="J8" s="16" t="str">
        <x:v>Validate affiliate mapping</x:v>
      </x:c>
      <x:c r="K8" s="36" t="b">
        <x:v>1</x:v>
      </x:c>
    </x:row>
    <x:row r="9">
      <x:c r="A9" s="16" t="str">
        <x:v>case-tesla-13848</x:v>
      </x:c>
      <x:c r="B9" s="16" t="str">
        <x:v>Monitor</x:v>
      </x:c>
      <x:c r="C9" s="16" t="str">
        <x:v>Analyst C</x:v>
      </x:c>
      <x:c r="D9" s="22" t="n">
        <x:v>46193</x:v>
      </x:c>
      <x:c r="E9" s="22" t="n">
        <x:v>46193</x:v>
      </x:c>
      <x:c r="F9" s="22" t="n">
        <x:v>46254</x:v>
      </x:c>
      <x:c r="G9" s="25" t="n">
        <x:f>IF(E9="","",TODAY()-E9)</x:f>
        <x:v>24</x:v>
      </x:c>
      <x:c r="H9" s="16" t="str">
        <x:f>IF(G9="","",IF(F9&lt;TODAY(),"Overdue",IF(G9&gt;30,"30+ days",IF(G9&gt;14,"15-30 days",IF(G9&gt;7,"8-14 days","0-7 days")))))</x:f>
        <x:v>15-30 days</x:v>
      </x:c>
      <x:c r="I9" s="16" t="str">
        <x:v>N/A</x:v>
      </x:c>
      <x:c r="J9" s="16" t="str">
        <x:v>Historical monitoring</x:v>
      </x:c>
      <x:c r="K9" s="36" t="b">
        <x:v>1</x:v>
      </x:c>
    </x:row>
    <x:row r="10">
      <x:c r="A10" s="17" t="str">
        <x:v>case-convenient-12691</x:v>
      </x:c>
      <x:c r="B10" s="17" t="str">
        <x:v>Monitor</x:v>
      </x:c>
      <x:c r="C10" s="17" t="str">
        <x:v>Analyst C</x:v>
      </x:c>
      <x:c r="D10" s="23" t="n">
        <x:v>46183</x:v>
      </x:c>
      <x:c r="E10" s="23" t="n">
        <x:v>46183</x:v>
      </x:c>
      <x:c r="F10" s="23" t="n">
        <x:v>46275</x:v>
      </x:c>
      <x:c r="G10" s="26" t="n">
        <x:f>IF(E10="","",TODAY()-E10)</x:f>
        <x:v>34</x:v>
      </x:c>
      <x:c r="H10" s="17" t="str">
        <x:f>IF(G10="","",IF(F10&lt;TODAY(),"Overdue",IF(G10&gt;30,"30+ days",IF(G10&gt;14,"15-30 days",IF(G10&gt;7,"8-14 days","0-7 days")))))</x:f>
        <x:v>30+ days</x:v>
      </x:c>
      <x:c r="I10" s="17" t="str">
        <x:v>N/A</x:v>
      </x:c>
      <x:c r="J10" s="17" t="str">
        <x:v>No action</x:v>
      </x:c>
      <x:c r="K10" s="37" t="b">
        <x:v>1</x:v>
      </x:c>
    </x:row>
  </x:sheetData>
  <x:mergeCells>
    <x:mergeCell ref="A1:K2"/>
    <x:mergeCell ref="A3:K3"/>
  </x:mergeCells>
  <x:conditionalFormatting sqref="H6:H205">
    <x:cfRule type="containsText" dxfId="0" priority="1" operator="containsText" text="Overdue"/>
  </x:conditionalFormatting>
  <x:dataValidations count="2">
    <x:dataValidation type="list" sqref="B6:B205">
      <x:formula1>"New signal,Entity research,Human review,Campaign ready,Monitor,Closed"</x:formula1>
    </x:dataValidation>
    <x:dataValidation type="list" sqref="C6:C205">
      <x:formula1>"Analyst A,Analyst B,Analyst C,Unassigned"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7ed01744b840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4" customHeight="1">
      <x:c r="A1" s="3" t="str">
        <x:v>PoolSignal | Scenario Inputs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4" customHeight="1">
      <x:c r="A3" s="6" t="str">
        <x:v>Illustrative public-rate mechanics · the actual agreement controls</x:v>
      </x:c>
      <x:c r="B3" s="6"/>
      <x:c r="C3" s="6"/>
      <x:c r="D3" s="6"/>
      <x:c r="E3" s="6"/>
      <x:c r="F3" s="6"/>
      <x:c r="G3" s="6"/>
    </x:row>
    <x:row r="5" ht="30" customHeight="1">
      <x:c r="A5" s="10" t="str">
        <x:v>Editable assumption</x:v>
      </x:c>
      <x:c r="B5" s="10" t="str">
        <x:v>Value</x:v>
      </x:c>
      <x:c r="D5" s="51" t="str">
        <x:v>Model boundary</x:v>
      </x:c>
      <x:c r="E5" s="51"/>
      <x:c r="F5" s="51"/>
      <x:c r="G5" s="51"/>
    </x:row>
    <x:row r="6">
      <x:c r="A6" s="15" t="str">
        <x:v>Annual enterprise units</x:v>
      </x:c>
      <x:c r="B6" s="41" t="n">
        <x:v>250000</x:v>
      </x:c>
      <x:c r="D6" s="55" t="str">
        <x:v>Certification activity is not shipment volume. This model runs only on explicit user-entered assumptions, applies the waiver at the enterprise level, and produces an illustrative range rather than a licensing or legal conclusion.</x:v>
      </x:c>
      <x:c r="E6" s="55"/>
      <x:c r="F6" s="55"/>
      <x:c r="G6" s="55"/>
    </x:row>
    <x:row r="7">
      <x:c r="A7" s="16" t="str">
        <x:v>Illustrative per-product fee</x:v>
      </x:c>
      <x:c r="B7" s="42" t="n">
        <x:v>0.25</x:v>
      </x:c>
      <x:c r="D7" s="55"/>
      <x:c r="E7" s="55"/>
      <x:c r="F7" s="55"/>
      <x:c r="G7" s="55"/>
    </x:row>
    <x:row r="8">
      <x:c r="A8" s="16" t="str">
        <x:v>Illustrative discount</x:v>
      </x:c>
      <x:c r="B8" s="43" t="n">
        <x:v>0.1</x:v>
      </x:c>
      <x:c r="D8" s="55"/>
      <x:c r="E8" s="55"/>
      <x:c r="F8" s="55"/>
      <x:c r="G8" s="55"/>
    </x:row>
    <x:row r="9">
      <x:c r="A9" s="16" t="str">
        <x:v>Illustrative annual waiver</x:v>
      </x:c>
      <x:c r="B9" s="44" t="n">
        <x:v>25000</x:v>
      </x:c>
      <x:c r="D9" s="55"/>
      <x:c r="E9" s="55"/>
      <x:c r="F9" s="55"/>
      <x:c r="G9" s="55"/>
    </x:row>
    <x:row r="10">
      <x:c r="A10" s="17" t="str">
        <x:v>Low / high scenario spread</x:v>
      </x:c>
      <x:c r="B10" s="45" t="n">
        <x:v>0.25</x:v>
      </x:c>
      <x:c r="D10" s="55"/>
      <x:c r="E10" s="55"/>
      <x:c r="F10" s="55"/>
      <x:c r="G10" s="55"/>
    </x:row>
    <x:row r="12" ht="30" customHeight="1">
      <x:c r="A12" s="10" t="str">
        <x:v>Calculated output</x:v>
      </x:c>
      <x:c r="B12" s="10" t="str">
        <x:v>Value</x:v>
      </x:c>
    </x:row>
    <x:row r="13">
      <x:c r="A13" s="15" t="str">
        <x:v>Modeled units</x:v>
      </x:c>
      <x:c r="B13" s="46" t="n">
        <x:f>MAX(B6-B9,0)</x:f>
        <x:v>225000</x:v>
      </x:c>
    </x:row>
    <x:row r="14">
      <x:c r="A14" s="16" t="str">
        <x:v>Gross illustrative amount</x:v>
      </x:c>
      <x:c r="B14" s="47" t="n">
        <x:f>B13*B7</x:f>
        <x:v>56250</x:v>
      </x:c>
    </x:row>
    <x:row r="15">
      <x:c r="A15" s="16" t="str">
        <x:v>Illustrative discount amount</x:v>
      </x:c>
      <x:c r="B15" s="47" t="n">
        <x:f>B14*B8</x:f>
        <x:v>5625</x:v>
      </x:c>
    </x:row>
    <x:row r="16">
      <x:c r="A16" s="16" t="str">
        <x:v>Base scenario</x:v>
      </x:c>
      <x:c r="B16" s="47" t="n">
        <x:f>B14-B15</x:f>
        <x:v>50625</x:v>
      </x:c>
    </x:row>
    <x:row r="17">
      <x:c r="A17" s="16" t="str">
        <x:v>Low scenario</x:v>
      </x:c>
      <x:c r="B17" s="47" t="n">
        <x:f>B16*(1-B10)</x:f>
        <x:v>37968.75</x:v>
      </x:c>
    </x:row>
    <x:row r="18">
      <x:c r="A18" s="17" t="str">
        <x:v>High scenario</x:v>
      </x:c>
      <x:c r="B18" s="48" t="n">
        <x:f>B16*(1+B10)</x:f>
        <x:v>63281.25</x:v>
      </x:c>
    </x:row>
    <x:row r="21" ht="30" customHeight="1">
      <x:c r="A21" s="10" t="str">
        <x:v>Source</x:v>
      </x:c>
      <x:c r="B21" s="10" t="str">
        <x:v>URL</x:v>
      </x:c>
    </x:row>
    <x:row r="22">
      <x:c r="A22" s="15" t="str">
        <x:v>Via Qi program</x:v>
      </x:c>
      <x:c r="B22" s="15" t="str">
        <x:v>https://www.via-la.com/licensing-programs/qi-wireless-power/</x:v>
      </x:c>
    </x:row>
    <x:row r="23">
      <x:c r="A23" s="16" t="str">
        <x:v>WPC certified products</x:v>
      </x:c>
      <x:c r="B23" s="16" t="str">
        <x:v>https://jpsapi.wirelesspowerconsortium.com/products/qi</x:v>
      </x:c>
    </x:row>
    <x:row r="24">
      <x:c r="A24" s="17" t="str">
        <x:v>Model note</x:v>
      </x:c>
      <x:c r="B24" s="17" t="str">
        <x:v>Actual license agreement is definitive; this workbook is illustrative.</x:v>
      </x:c>
    </x:row>
  </x:sheetData>
  <x:mergeCells>
    <x:mergeCell ref="A1:G2"/>
    <x:mergeCell ref="A3:G3"/>
    <x:mergeCell ref="D5:G5"/>
    <x:mergeCell ref="D6:G10"/>
  </x:mergeCells>
  <x:pageMargins left="0.7" right="0.7" top="0.75" bottom="0.75" header="0.3" footer="0.3"/>
  <x:legacyDrawing xmlns:r="http://schemas.openxmlformats.org/officeDocument/2006/relationships" r:id="R86ee1b0b956043f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.559999942779541" hidden="0" customWidth="1"/>
    <x:col min="3" max="3" width="6.559999942779541" hidden="0" customWidth="1"/>
    <x:col min="4" max="4" width="12" hidden="0" customWidth="1"/>
    <x:col min="5" max="5" width="8.670000076293945" hidden="0" customWidth="1"/>
    <x:col min="6" max="6" width="8.5600004196167" hidden="0" customWidth="1"/>
    <x:col min="7" max="7" width="34" hidden="0" customWidth="1"/>
  </x:cols>
  <x:sheetData>
    <x:row r="1" ht="24" customHeight="1">
      <x:c r="A1" s="3" t="str">
        <x:v>PoolSignal | QA Exceptions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4" customHeight="1">
      <x:c r="A3" s="6" t="str">
        <x:v>Data contracts, source freshness, entity precision, and evidence grounding</x:v>
      </x:c>
      <x:c r="B3" s="6"/>
      <x:c r="C3" s="6"/>
      <x:c r="D3" s="6"/>
      <x:c r="E3" s="6"/>
      <x:c r="F3" s="6"/>
      <x:c r="G3" s="6"/>
    </x:row>
    <x:row r="5" ht="30" customHeight="1">
      <x:c r="A5" s="10" t="str">
        <x:v>Check</x:v>
      </x:c>
      <x:c r="B5" s="10" t="str">
        <x:v>Severity</x:v>
      </x:c>
      <x:c r="C5" s="10" t="str">
        <x:v>Status</x:v>
      </x:c>
      <x:c r="D5" s="10" t="str">
        <x:v>Metric</x:v>
      </x:c>
      <x:c r="E5" s="10" t="str">
        <x:v>Threshold</x:v>
      </x:c>
      <x:c r="F5" s="10" t="str">
        <x:v>Observed</x:v>
      </x:c>
      <x:c r="G5" s="10" t="str">
        <x:v>Note</x:v>
      </x:c>
    </x:row>
    <x:row r="6">
      <x:c r="A6" s="15" t="str">
        <x:v>Qi ID uniqueness</x:v>
      </x:c>
      <x:c r="B6" s="15" t="str">
        <x:v>Critical</x:v>
      </x:c>
      <x:c r="C6" s="15" t="str">
        <x:v>Pass</x:v>
      </x:c>
      <x:c r="D6" s="15" t="str">
        <x:v>Duplicate IDs</x:v>
      </x:c>
      <x:c r="E6" s="24" t="n">
        <x:v>0</x:v>
      </x:c>
      <x:c r="F6" s="24" t="n">
        <x:v>0</x:v>
      </x:c>
      <x:c r="G6" s="15" t="str">
        <x:v>No duplicate source IDs</x:v>
      </x:c>
    </x:row>
    <x:row r="7">
      <x:c r="A7" s="16" t="str">
        <x:v>Source freshness</x:v>
      </x:c>
      <x:c r="B7" s="16" t="str">
        <x:v>High</x:v>
      </x:c>
      <x:c r="C7" s="16" t="str">
        <x:v>Pass</x:v>
      </x:c>
      <x:c r="D7" s="16" t="str">
        <x:v>Hours since refresh</x:v>
      </x:c>
      <x:c r="E7" s="25" t="n">
        <x:v>24</x:v>
      </x:c>
      <x:c r="F7" s="25" t="n">
        <x:v>6</x:v>
      </x:c>
      <x:c r="G7" s="16" t="str">
        <x:v>Within operational SLA</x:v>
      </x:c>
    </x:row>
    <x:row r="8">
      <x:c r="A8" s="16" t="str">
        <x:v>Entity-match precision</x:v>
      </x:c>
      <x:c r="B8" s="16" t="str">
        <x:v>High</x:v>
      </x:c>
      <x:c r="C8" s="16" t="str">
        <x:v>Pass</x:v>
      </x:c>
      <x:c r="D8" s="16" t="str">
        <x:v>Precision</x:v>
      </x:c>
      <x:c r="E8" s="28" t="n">
        <x:v>0.9</x:v>
      </x:c>
      <x:c r="F8" s="28" t="n">
        <x:v>0.934</x:v>
      </x:c>
      <x:c r="G8" s="16" t="str">
        <x:v>Labeled evaluation sample</x:v>
      </x:c>
    </x:row>
    <x:row r="9">
      <x:c r="A9" s="16" t="str">
        <x:v>Entity abstention</x:v>
      </x:c>
      <x:c r="B9" s="16" t="str">
        <x:v>Medium</x:v>
      </x:c>
      <x:c r="C9" s="16" t="str">
        <x:v>Watch</x:v>
      </x:c>
      <x:c r="D9" s="16" t="str">
        <x:v>Abstention rate</x:v>
      </x:c>
      <x:c r="E9" s="28" t="n">
        <x:v>0.2</x:v>
      </x:c>
      <x:c r="F9" s="28" t="n">
        <x:v>0.124</x:v>
      </x:c>
      <x:c r="G9" s="16" t="str">
        <x:v>Expected safety behavior</x:v>
      </x:c>
    </x:row>
    <x:row r="10">
      <x:c r="A10" s="16" t="str">
        <x:v>Schema drift</x:v>
      </x:c>
      <x:c r="B10" s="16" t="str">
        <x:v>Medium</x:v>
      </x:c>
      <x:c r="C10" s="16" t="str">
        <x:v>Watch</x:v>
      </x:c>
      <x:c r="D10" s="16" t="str">
        <x:v>Additive fields</x:v>
      </x:c>
      <x:c r="E10" s="25" t="n">
        <x:v>0</x:v>
      </x:c>
      <x:c r="F10" s="25" t="n">
        <x:v>1</x:v>
      </x:c>
      <x:c r="G10" s="16" t="str">
        <x:v>Consumer-sale field observed</x:v>
      </x:c>
    </x:row>
    <x:row r="11">
      <x:c r="A11" s="17" t="str">
        <x:v>Evidence grounding</x:v>
      </x:c>
      <x:c r="B11" s="17" t="str">
        <x:v>Critical</x:v>
      </x:c>
      <x:c r="C11" s="17" t="str">
        <x:v>Pass</x:v>
      </x:c>
      <x:c r="D11" s="17" t="str">
        <x:v>Briefs with sources</x:v>
      </x:c>
      <x:c r="E11" s="29" t="n">
        <x:v>1</x:v>
      </x:c>
      <x:c r="F11" s="29" t="n">
        <x:v>1</x:v>
      </x:c>
      <x:c r="G11" s="17" t="str">
        <x:v>All generated briefs grounded</x:v>
      </x:c>
    </x:row>
  </x:sheetData>
  <x:mergeCells>
    <x:mergeCell ref="A1:G2"/>
    <x:mergeCell ref="A3:G3"/>
  </x:mergeCells>
  <x:conditionalFormatting sqref="C6:C205">
    <x:cfRule type="containsText" dxfId="1" priority="1" operator="containsText" text="Pass"/>
    <x:cfRule type="containsText" dxfId="2" priority="2" operator="containsText" text="Watch"/>
  </x:conditionalFormatting>
  <x:pageMargins left="0.7" right="0.7" top="0.75" bottom="0.75" header="0.3" footer="0.3"/>
  <x:tableParts count="1">
    <x:tablePart xmlns:r="http://schemas.openxmlformats.org/officeDocument/2006/relationships" r:id="Rb5a1986b391147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33000183105469" hidden="0" customWidth="1"/>
    <x:col min="2" max="2" width="11.4399995803833" hidden="0" customWidth="1"/>
    <x:col min="3" max="3" width="7.329999923706055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24" customHeight="1">
      <x:c r="A1" s="3" t="str">
        <x:v>PoolSignal | Data Dictionary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6" t="str">
        <x:v>Business definitions, grains, and analytical boundaries</x:v>
      </x:c>
      <x:c r="B3" s="6"/>
      <x:c r="C3" s="6"/>
      <x:c r="D3" s="6"/>
      <x:c r="E3" s="6"/>
      <x:c r="F3" s="6"/>
    </x:row>
    <x:row r="5" ht="30" customHeight="1">
      <x:c r="A5" s="10" t="str">
        <x:v>Dataset</x:v>
      </x:c>
      <x:c r="B5" s="10" t="str">
        <x:v>Field</x:v>
      </x:c>
      <x:c r="C5" s="10" t="str">
        <x:v>Type</x:v>
      </x:c>
      <x:c r="D5" s="10" t="str">
        <x:v>Definition</x:v>
      </x:c>
      <x:c r="E5" s="10" t="str">
        <x:v>Allowed values / rule</x:v>
      </x:c>
      <x:c r="F5" s="10" t="str">
        <x:v>Boundary</x:v>
      </x:c>
    </x:row>
    <x:row r="6">
      <x:c r="A6" s="15" t="str">
        <x:v>Review Queue</x:v>
      </x:c>
      <x:c r="B6" s="15" t="str">
        <x:v>Case ID</x:v>
      </x:c>
      <x:c r="C6" s="15" t="str">
        <x:v>Text</x:v>
      </x:c>
      <x:c r="D6" s="15" t="str">
        <x:v>Stable identifier for one evidence-review case</x:v>
      </x:c>
      <x:c r="E6" s="15" t="str">
        <x:v>Unique</x:v>
      </x:c>
      <x:c r="F6" s="15" t="str">
        <x:v>Not a company account ID</x:v>
      </x:c>
    </x:row>
    <x:row r="7">
      <x:c r="A7" s="16" t="str">
        <x:v>Review Queue</x:v>
      </x:c>
      <x:c r="B7" s="16" t="str">
        <x:v>Priority</x:v>
      </x:c>
      <x:c r="C7" s="16" t="str">
        <x:v>Integer</x:v>
      </x:c>
      <x:c r="D7" s="16" t="str">
        <x:v>Transparent research-review priority</x:v>
      </x:c>
      <x:c r="E7" s="16" t="str">
        <x:v>0–100</x:v>
      </x:c>
      <x:c r="F7" s="16" t="str">
        <x:v>Not legal or compliance risk</x:v>
      </x:c>
    </x:row>
    <x:row r="8">
      <x:c r="A8" s="16" t="str">
        <x:v>Review Queue</x:v>
      </x:c>
      <x:c r="B8" s="16" t="str">
        <x:v>Entity Confidence</x:v>
      </x:c>
      <x:c r="C8" s="16" t="str">
        <x:v>Percentage</x:v>
      </x:c>
      <x:c r="D8" s="16" t="str">
        <x:v>Confidence in brand-to-entity proposal</x:v>
      </x:c>
      <x:c r="E8" s="16" t="str">
        <x:v>0–100%</x:v>
      </x:c>
      <x:c r="F8" s="16" t="str">
        <x:v>Below 85% requires abstention</x:v>
      </x:c>
    </x:row>
    <x:row r="9">
      <x:c r="A9" s="16" t="str">
        <x:v>Review Queue</x:v>
      </x:c>
      <x:c r="B9" s="16" t="str">
        <x:v>Public Snapshot</x:v>
      </x:c>
      <x:c r="C9" s="16" t="str">
        <x:v>Text</x:v>
      </x:c>
      <x:c r="D9" s="16" t="str">
        <x:v>Comparison with a dated public list</x:v>
      </x:c>
      <x:c r="E9" s="16" t="str">
        <x:v>Match / Possible / No match / Unknown</x:v>
      </x:c>
      <x:c r="F9" s="16" t="str">
        <x:v>Not product coverage</x:v>
      </x:c>
    </x:row>
    <x:row r="10">
      <x:c r="A10" s="16" t="str">
        <x:v>Review Queue</x:v>
      </x:c>
      <x:c r="B10" s="16" t="str">
        <x:v>Status</x:v>
      </x:c>
      <x:c r="C10" s="16" t="str">
        <x:v>Text</x:v>
      </x:c>
      <x:c r="D10" s="16" t="str">
        <x:v>Human workflow state</x:v>
      </x:c>
      <x:c r="E10" s="16" t="str">
        <x:v>Review / Approved / Monitor / Returned</x:v>
      </x:c>
      <x:c r="F10" s="16" t="str">
        <x:v>External actions disabled</x:v>
      </x:c>
    </x:row>
    <x:row r="11">
      <x:c r="A11" s="16" t="str">
        <x:v>Campaign</x:v>
      </x:c>
      <x:c r="B11" s="16" t="str">
        <x:v>Stage</x:v>
      </x:c>
      <x:c r="C11" s="16" t="str">
        <x:v>Text</x:v>
      </x:c>
      <x:c r="D11" s="16" t="str">
        <x:v>Synthetic operational stage</x:v>
      </x:c>
      <x:c r="E11" s="16" t="str">
        <x:v>Configured list</x:v>
      </x:c>
      <x:c r="F11" s="16" t="str">
        <x:v>No real campaign records</x:v>
      </x:c>
    </x:row>
    <x:row r="12">
      <x:c r="A12" s="16" t="str">
        <x:v>Campaign</x:v>
      </x:c>
      <x:c r="B12" s="16" t="str">
        <x:v>Days Since Touch</x:v>
      </x:c>
      <x:c r="C12" s="16" t="str">
        <x:v>Integer</x:v>
      </x:c>
      <x:c r="D12" s="16" t="str">
        <x:v>Today minus last synthetic touch</x:v>
      </x:c>
      <x:c r="E12" s="16" t="str">
        <x:v>&gt;=0</x:v>
      </x:c>
      <x:c r="F12" s="16" t="str">
        <x:v>Formula-driven</x:v>
      </x:c>
    </x:row>
    <x:row r="13">
      <x:c r="A13" s="16" t="str">
        <x:v>Scenario</x:v>
      </x:c>
      <x:c r="B13" s="16" t="str">
        <x:v>Annual Units</x:v>
      </x:c>
      <x:c r="C13" s="16" t="str">
        <x:v>Integer</x:v>
      </x:c>
      <x:c r="D13" s="16" t="str">
        <x:v>User-entered enterprise volume assumption</x:v>
      </x:c>
      <x:c r="E13" s="16" t="str">
        <x:v>&gt;=0</x:v>
      </x:c>
      <x:c r="F13" s="16" t="str">
        <x:v>Never inferred from certifications</x:v>
      </x:c>
    </x:row>
    <x:row r="14">
      <x:c r="A14" s="16" t="str">
        <x:v>Scenario</x:v>
      </x:c>
      <x:c r="B14" s="16" t="str">
        <x:v>Fee</x:v>
      </x:c>
      <x:c r="C14" s="16" t="str">
        <x:v>Currency</x:v>
      </x:c>
      <x:c r="D14" s="16" t="str">
        <x:v>Illustrative public fee selection</x:v>
      </x:c>
      <x:c r="E14" s="16" t="str">
        <x:v>$0.20–$0.85</x:v>
      </x:c>
      <x:c r="F14" s="16" t="str">
        <x:v>Actual agreement controls</x:v>
      </x:c>
    </x:row>
    <x:row r="15">
      <x:c r="A15" s="16" t="str">
        <x:v>Scenario</x:v>
      </x:c>
      <x:c r="B15" s="16" t="str">
        <x:v>Discount</x:v>
      </x:c>
      <x:c r="C15" s="16" t="str">
        <x:v>Percentage</x:v>
      </x:c>
      <x:c r="D15" s="16" t="str">
        <x:v>Illustrative committed-volume discount</x:v>
      </x:c>
      <x:c r="E15" s="16" t="str">
        <x:v>0–40%</x:v>
      </x:c>
      <x:c r="F15" s="16" t="str">
        <x:v>Requires explicit assumption</x:v>
      </x:c>
    </x:row>
    <x:row r="16">
      <x:c r="A16" s="16" t="str">
        <x:v>QA</x:v>
      </x:c>
      <x:c r="B16" s="16" t="str">
        <x:v>Status</x:v>
      </x:c>
      <x:c r="C16" s="16" t="str">
        <x:v>Text</x:v>
      </x:c>
      <x:c r="D16" s="16" t="str">
        <x:v>Result of a data-quality control</x:v>
      </x:c>
      <x:c r="E16" s="16" t="str">
        <x:v>Pass / Watch / Alert</x:v>
      </x:c>
      <x:c r="F16" s="16" t="str">
        <x:v>Controls are versioned</x:v>
      </x:c>
    </x:row>
    <x:row r="17">
      <x:c r="A17" s="17" t="str">
        <x:v>Entity</x:v>
      </x:c>
      <x:c r="B17" s="17" t="str">
        <x:v>Reviewer Decision</x:v>
      </x:c>
      <x:c r="C17" s="17" t="str">
        <x:v>Text</x:v>
      </x:c>
      <x:c r="D17" s="17" t="str">
        <x:v>Human disposition of proposed entity link</x:v>
      </x:c>
      <x:c r="E17" s="17" t="str">
        <x:v>Pending / Approved / Research / Monitor / Rejected</x:v>
      </x:c>
      <x:c r="F17" s="17" t="str">
        <x:v>Agent cannot self-approve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fe670985e2a46c4"/>
  </x:tableParts>
</x:worksheet>
</file>